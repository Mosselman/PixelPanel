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1. Personal projects\PixelPanel\Keymodule\"/>
    </mc:Choice>
  </mc:AlternateContent>
  <xr:revisionPtr revIDLastSave="0" documentId="8_{32593F7A-83EF-4C6A-8A25-18CAD8617DBB}" xr6:coauthVersionLast="47" xr6:coauthVersionMax="47" xr10:uidLastSave="{00000000-0000-0000-0000-000000000000}"/>
  <bookViews>
    <workbookView xWindow="-16320" yWindow="-4815" windowWidth="16440" windowHeight="28320" activeTab="2" xr2:uid="{50EE454D-19D5-41AC-871C-30C9CD4AB41A}"/>
  </bookViews>
  <sheets>
    <sheet name="BOM" sheetId="1" r:id="rId1"/>
    <sheet name="quick calc" sheetId="2" r:id="rId2"/>
    <sheet name="Pino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K2" i="2"/>
  <c r="J6" i="2"/>
  <c r="J7" i="2"/>
  <c r="J8" i="2"/>
  <c r="J9" i="2"/>
  <c r="J10" i="2"/>
  <c r="J5" i="2"/>
  <c r="H6" i="2"/>
  <c r="H7" i="2"/>
  <c r="H8" i="2"/>
  <c r="H9" i="2"/>
  <c r="H10" i="2"/>
  <c r="H5" i="2"/>
  <c r="I6" i="2"/>
  <c r="I7" i="2"/>
  <c r="I8" i="2"/>
  <c r="I9" i="2"/>
  <c r="I10" i="2"/>
  <c r="I5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5" i="2"/>
  <c r="D6" i="2"/>
  <c r="D40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</calcChain>
</file>

<file path=xl/sharedStrings.xml><?xml version="1.0" encoding="utf-8"?>
<sst xmlns="http://schemas.openxmlformats.org/spreadsheetml/2006/main" count="29" uniqueCount="26">
  <si>
    <t>Component</t>
  </si>
  <si>
    <t>amount</t>
  </si>
  <si>
    <t>cost</t>
  </si>
  <si>
    <t>link</t>
  </si>
  <si>
    <t>shipping</t>
  </si>
  <si>
    <t>total</t>
  </si>
  <si>
    <t>Euro/per</t>
  </si>
  <si>
    <t>Lowest price so far</t>
  </si>
  <si>
    <t>Price to beat</t>
  </si>
  <si>
    <t>Cost per panel</t>
  </si>
  <si>
    <t>Supplier</t>
  </si>
  <si>
    <t>Part name</t>
  </si>
  <si>
    <t>https://nl.aliexpress.com/item/1005005186515165.html?spm=a2g0o.productlist.main.2.7077JDWNJDWNnY&amp;algo_pvid=6491e8ca-ae62-491f-aee6-7b35bde74d07&amp;algo_exp_id=6491e8ca-ae62-491f-aee6-7b35bde74d07-1&amp;pdp_ext_f=%7B%22order%22%3A%2253%22%2C%22eval%22%3A%221%22%2C%22fromPage%22%3A%22search%22%7D&amp;pdp_npi=6%40dis%21EUR%213.82%212.52%21%21%214.42%212.92%21%402103919917694671588896699e5cd5%2112000032026120161%21sea%21NL%210%21ABX%211%210%21n_tag%3A-29910%3Bd%3Af4762516%3Bm03_new_user%3A-29895%3BpisId%3A5000000197833602&amp;curPageLogUid=LSSBWyWQGNhx&amp;utparam-url=scene%3Asearch%7Cquery_from%3A%7Cx_object_id%3A1005005186515165%7C_p_origin_prod%3A</t>
  </si>
  <si>
    <t>SK6812 mini-e</t>
  </si>
  <si>
    <t>LEDs</t>
  </si>
  <si>
    <t>aliexpress</t>
  </si>
  <si>
    <t>Keys</t>
  </si>
  <si>
    <t>Kali low profile</t>
  </si>
  <si>
    <t>Inputs</t>
  </si>
  <si>
    <t>Row</t>
  </si>
  <si>
    <t>Colum</t>
  </si>
  <si>
    <t>Pins</t>
  </si>
  <si>
    <t>Outputs</t>
  </si>
  <si>
    <t>Leddata</t>
  </si>
  <si>
    <t>SDA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</si>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</sst>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90AB-3FEB-4402-9060-98476F875856}">
  <dimension ref="A1:H39"/>
  <sheetViews>
    <sheetView workbookViewId="0">
      <selection activeCell="F21" sqref="F21"/>
    </sheetView>
  </sheetViews>
  <sheetFormatPr defaultRowHeight="15" x14ac:dyDescent="0.25"/>
  <cols>
    <col min="1" max="1" width="19.42578125" customWidth="1"/>
    <col min="2" max="2" width="16.140625" customWidth="1"/>
    <col min="3" max="3" width="9.5703125" customWidth="1"/>
    <col min="5" max="5" width="9.140625" style="3"/>
    <col min="8" max="8" width="9.140625" style="3"/>
  </cols>
  <sheetData>
    <row r="1" spans="1:8" x14ac:dyDescent="0.25">
      <c r="A1" s="1" t="s">
        <v>0</v>
      </c>
      <c r="B1" s="1" t="s">
        <v>11</v>
      </c>
      <c r="C1" s="1" t="s">
        <v>10</v>
      </c>
      <c r="D1" s="1" t="s">
        <v>3</v>
      </c>
      <c r="E1" s="2" t="s">
        <v>2</v>
      </c>
      <c r="F1" s="1" t="s">
        <v>1</v>
      </c>
      <c r="G1" s="1" t="s">
        <v>4</v>
      </c>
      <c r="H1" s="2" t="s">
        <v>5</v>
      </c>
    </row>
    <row r="2" spans="1:8" x14ac:dyDescent="0.25">
      <c r="H2" s="3">
        <f>E2*F2+G2</f>
        <v>0</v>
      </c>
    </row>
    <row r="3" spans="1:8" x14ac:dyDescent="0.25">
      <c r="A3" t="s">
        <v>14</v>
      </c>
      <c r="B3" t="s">
        <v>13</v>
      </c>
      <c r="C3" t="s">
        <v>15</v>
      </c>
      <c r="D3" s="4" t="s">
        <v>12</v>
      </c>
      <c r="E3" s="3">
        <v>2.52</v>
      </c>
      <c r="F3">
        <v>0.25</v>
      </c>
      <c r="H3" s="3">
        <f t="shared" ref="H3:H39" si="0">E3*F3+G3</f>
        <v>0.63</v>
      </c>
    </row>
    <row r="4" spans="1:8" x14ac:dyDescent="0.25">
      <c r="A4" t="s">
        <v>16</v>
      </c>
      <c r="B4" t="s">
        <v>17</v>
      </c>
      <c r="H4" s="3">
        <f t="shared" si="0"/>
        <v>0</v>
      </c>
    </row>
    <row r="5" spans="1:8" x14ac:dyDescent="0.25">
      <c r="H5" s="3">
        <f t="shared" si="0"/>
        <v>0</v>
      </c>
    </row>
    <row r="6" spans="1:8" x14ac:dyDescent="0.25">
      <c r="H6" s="3">
        <f t="shared" si="0"/>
        <v>0</v>
      </c>
    </row>
    <row r="7" spans="1:8" x14ac:dyDescent="0.25">
      <c r="H7" s="3">
        <f t="shared" si="0"/>
        <v>0</v>
      </c>
    </row>
    <row r="8" spans="1:8" x14ac:dyDescent="0.25">
      <c r="H8" s="3">
        <f t="shared" si="0"/>
        <v>0</v>
      </c>
    </row>
    <row r="9" spans="1:8" x14ac:dyDescent="0.25">
      <c r="H9" s="3">
        <f t="shared" si="0"/>
        <v>0</v>
      </c>
    </row>
    <row r="10" spans="1:8" x14ac:dyDescent="0.25">
      <c r="H10" s="3">
        <f t="shared" si="0"/>
        <v>0</v>
      </c>
    </row>
    <row r="11" spans="1:8" x14ac:dyDescent="0.25">
      <c r="H11" s="3">
        <f t="shared" si="0"/>
        <v>0</v>
      </c>
    </row>
    <row r="12" spans="1:8" x14ac:dyDescent="0.25">
      <c r="H12" s="3">
        <f t="shared" si="0"/>
        <v>0</v>
      </c>
    </row>
    <row r="13" spans="1:8" x14ac:dyDescent="0.25">
      <c r="H13" s="3">
        <f t="shared" si="0"/>
        <v>0</v>
      </c>
    </row>
    <row r="14" spans="1:8" x14ac:dyDescent="0.25">
      <c r="H14" s="3">
        <f t="shared" si="0"/>
        <v>0</v>
      </c>
    </row>
    <row r="15" spans="1:8" x14ac:dyDescent="0.25">
      <c r="H15" s="3">
        <f t="shared" si="0"/>
        <v>0</v>
      </c>
    </row>
    <row r="16" spans="1:8" x14ac:dyDescent="0.25">
      <c r="H16" s="3">
        <f t="shared" si="0"/>
        <v>0</v>
      </c>
    </row>
    <row r="17" spans="8:8" x14ac:dyDescent="0.25">
      <c r="H17" s="3">
        <f t="shared" si="0"/>
        <v>0</v>
      </c>
    </row>
    <row r="18" spans="8:8" x14ac:dyDescent="0.25">
      <c r="H18" s="3">
        <f t="shared" si="0"/>
        <v>0</v>
      </c>
    </row>
    <row r="19" spans="8:8" x14ac:dyDescent="0.25">
      <c r="H19" s="3">
        <f t="shared" si="0"/>
        <v>0</v>
      </c>
    </row>
    <row r="20" spans="8:8" x14ac:dyDescent="0.25">
      <c r="H20" s="3">
        <f t="shared" si="0"/>
        <v>0</v>
      </c>
    </row>
    <row r="21" spans="8:8" x14ac:dyDescent="0.25">
      <c r="H21" s="3">
        <f t="shared" si="0"/>
        <v>0</v>
      </c>
    </row>
    <row r="22" spans="8:8" x14ac:dyDescent="0.25">
      <c r="H22" s="3">
        <f t="shared" si="0"/>
        <v>0</v>
      </c>
    </row>
    <row r="23" spans="8:8" x14ac:dyDescent="0.25">
      <c r="H23" s="3">
        <f t="shared" si="0"/>
        <v>0</v>
      </c>
    </row>
    <row r="24" spans="8:8" x14ac:dyDescent="0.25">
      <c r="H24" s="3">
        <f t="shared" si="0"/>
        <v>0</v>
      </c>
    </row>
    <row r="25" spans="8:8" x14ac:dyDescent="0.25">
      <c r="H25" s="3">
        <f t="shared" si="0"/>
        <v>0</v>
      </c>
    </row>
    <row r="26" spans="8:8" x14ac:dyDescent="0.25">
      <c r="H26" s="3">
        <f t="shared" si="0"/>
        <v>0</v>
      </c>
    </row>
    <row r="27" spans="8:8" x14ac:dyDescent="0.25">
      <c r="H27" s="3">
        <f t="shared" si="0"/>
        <v>0</v>
      </c>
    </row>
    <row r="28" spans="8:8" x14ac:dyDescent="0.25">
      <c r="H28" s="3">
        <f t="shared" si="0"/>
        <v>0</v>
      </c>
    </row>
    <row r="29" spans="8:8" x14ac:dyDescent="0.25">
      <c r="H29" s="3">
        <f t="shared" si="0"/>
        <v>0</v>
      </c>
    </row>
    <row r="30" spans="8:8" x14ac:dyDescent="0.25">
      <c r="H30" s="3">
        <f t="shared" si="0"/>
        <v>0</v>
      </c>
    </row>
    <row r="31" spans="8:8" x14ac:dyDescent="0.25">
      <c r="H31" s="3">
        <f t="shared" si="0"/>
        <v>0</v>
      </c>
    </row>
    <row r="32" spans="8:8" x14ac:dyDescent="0.25">
      <c r="H32" s="3">
        <f t="shared" si="0"/>
        <v>0</v>
      </c>
    </row>
    <row r="33" spans="8:8" x14ac:dyDescent="0.25">
      <c r="H33" s="3">
        <f t="shared" si="0"/>
        <v>0</v>
      </c>
    </row>
    <row r="34" spans="8:8" x14ac:dyDescent="0.25">
      <c r="H34" s="3">
        <f t="shared" si="0"/>
        <v>0</v>
      </c>
    </row>
    <row r="35" spans="8:8" x14ac:dyDescent="0.25">
      <c r="H35" s="3">
        <f t="shared" si="0"/>
        <v>0</v>
      </c>
    </row>
    <row r="36" spans="8:8" x14ac:dyDescent="0.25">
      <c r="H36" s="3">
        <f t="shared" si="0"/>
        <v>0</v>
      </c>
    </row>
    <row r="37" spans="8:8" x14ac:dyDescent="0.25">
      <c r="H37" s="3">
        <f t="shared" si="0"/>
        <v>0</v>
      </c>
    </row>
    <row r="38" spans="8:8" x14ac:dyDescent="0.25">
      <c r="H38" s="3">
        <f t="shared" si="0"/>
        <v>0</v>
      </c>
    </row>
    <row r="39" spans="8:8" x14ac:dyDescent="0.25">
      <c r="H39" s="3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FFB7-FBEB-4A50-A4FC-663E5F1E70BD}">
  <dimension ref="B2:L53"/>
  <sheetViews>
    <sheetView workbookViewId="0">
      <selection activeCell="F9" sqref="F9"/>
    </sheetView>
  </sheetViews>
  <sheetFormatPr defaultRowHeight="15" x14ac:dyDescent="0.25"/>
  <cols>
    <col min="4" max="4" width="9.140625" style="1"/>
  </cols>
  <sheetData>
    <row r="2" spans="2:12" x14ac:dyDescent="0.25">
      <c r="G2" s="3">
        <v>0.6</v>
      </c>
      <c r="H2" t="s">
        <v>7</v>
      </c>
      <c r="K2">
        <f>G2*25</f>
        <v>15</v>
      </c>
      <c r="L2" t="s">
        <v>9</v>
      </c>
    </row>
    <row r="4" spans="2:12" x14ac:dyDescent="0.25">
      <c r="B4" t="s">
        <v>2</v>
      </c>
      <c r="C4" t="s">
        <v>1</v>
      </c>
      <c r="D4" s="1" t="s">
        <v>6</v>
      </c>
      <c r="J4" t="s">
        <v>8</v>
      </c>
    </row>
    <row r="5" spans="2:12" x14ac:dyDescent="0.25">
      <c r="B5">
        <v>6.44</v>
      </c>
      <c r="C5">
        <v>10</v>
      </c>
      <c r="D5" s="2">
        <f>B5/C5</f>
        <v>0.64400000000000002</v>
      </c>
      <c r="H5">
        <f>$G$2</f>
        <v>0.6</v>
      </c>
      <c r="I5">
        <f>C5</f>
        <v>10</v>
      </c>
      <c r="J5" s="3">
        <f>I5*H5</f>
        <v>6</v>
      </c>
    </row>
    <row r="6" spans="2:12" x14ac:dyDescent="0.25">
      <c r="B6">
        <v>15</v>
      </c>
      <c r="C6">
        <v>23</v>
      </c>
      <c r="D6" s="2">
        <f>B6/C6</f>
        <v>0.65217391304347827</v>
      </c>
      <c r="H6">
        <f t="shared" ref="H6:H10" si="0">$G$2</f>
        <v>0.6</v>
      </c>
      <c r="I6">
        <f t="shared" ref="I6:I11" si="1">C6</f>
        <v>23</v>
      </c>
      <c r="J6" s="3">
        <f t="shared" ref="J6:J10" si="2">I6*H6</f>
        <v>13.799999999999999</v>
      </c>
    </row>
    <row r="7" spans="2:12" x14ac:dyDescent="0.25">
      <c r="C7">
        <v>30</v>
      </c>
      <c r="D7" s="2">
        <f t="shared" ref="D7:D39" si="3">B7/C7</f>
        <v>0</v>
      </c>
      <c r="H7">
        <f t="shared" si="0"/>
        <v>0.6</v>
      </c>
      <c r="I7">
        <f t="shared" si="1"/>
        <v>30</v>
      </c>
      <c r="J7" s="3">
        <f t="shared" si="2"/>
        <v>18</v>
      </c>
    </row>
    <row r="8" spans="2:12" x14ac:dyDescent="0.25">
      <c r="C8">
        <v>36</v>
      </c>
      <c r="D8" s="2">
        <f t="shared" si="3"/>
        <v>0</v>
      </c>
      <c r="H8">
        <f t="shared" si="0"/>
        <v>0.6</v>
      </c>
      <c r="I8">
        <f t="shared" si="1"/>
        <v>36</v>
      </c>
      <c r="J8" s="3">
        <f t="shared" si="2"/>
        <v>21.599999999999998</v>
      </c>
    </row>
    <row r="9" spans="2:12" x14ac:dyDescent="0.25">
      <c r="C9">
        <v>50</v>
      </c>
      <c r="D9" s="2">
        <f t="shared" si="3"/>
        <v>0</v>
      </c>
      <c r="H9">
        <f t="shared" si="0"/>
        <v>0.6</v>
      </c>
      <c r="I9">
        <f t="shared" si="1"/>
        <v>50</v>
      </c>
      <c r="J9" s="3">
        <f t="shared" si="2"/>
        <v>30</v>
      </c>
    </row>
    <row r="10" spans="2:12" x14ac:dyDescent="0.25">
      <c r="B10">
        <v>29.99</v>
      </c>
      <c r="C10">
        <v>90</v>
      </c>
      <c r="D10" s="2">
        <f t="shared" si="3"/>
        <v>0.3332222222222222</v>
      </c>
      <c r="H10">
        <f t="shared" si="0"/>
        <v>0.6</v>
      </c>
      <c r="I10">
        <f t="shared" si="1"/>
        <v>90</v>
      </c>
      <c r="J10" s="3">
        <f t="shared" si="2"/>
        <v>54</v>
      </c>
    </row>
    <row r="11" spans="2:12" x14ac:dyDescent="0.25">
      <c r="B11">
        <v>34.99</v>
      </c>
      <c r="C11">
        <v>110</v>
      </c>
      <c r="D11" s="2">
        <f t="shared" si="3"/>
        <v>0.31809090909090909</v>
      </c>
      <c r="I11">
        <f t="shared" si="1"/>
        <v>110</v>
      </c>
      <c r="J11" s="3"/>
    </row>
    <row r="12" spans="2:12" x14ac:dyDescent="0.25">
      <c r="D12" s="2" t="e">
        <f t="shared" si="3"/>
        <v>#DIV/0!</v>
      </c>
      <c r="J12" s="3"/>
    </row>
    <row r="13" spans="2:12" x14ac:dyDescent="0.25">
      <c r="D13" s="2" t="e">
        <f t="shared" si="3"/>
        <v>#DIV/0!</v>
      </c>
      <c r="J13" s="3"/>
    </row>
    <row r="14" spans="2:12" x14ac:dyDescent="0.25">
      <c r="D14" s="2" t="e">
        <f t="shared" si="3"/>
        <v>#DIV/0!</v>
      </c>
      <c r="J14" s="3"/>
    </row>
    <row r="15" spans="2:12" x14ac:dyDescent="0.25">
      <c r="D15" s="2" t="e">
        <f t="shared" si="3"/>
        <v>#DIV/0!</v>
      </c>
      <c r="J15" s="3"/>
    </row>
    <row r="16" spans="2:12" x14ac:dyDescent="0.25">
      <c r="D16" s="2" t="e">
        <f t="shared" si="3"/>
        <v>#DIV/0!</v>
      </c>
      <c r="J16" s="3"/>
    </row>
    <row r="17" spans="4:10" x14ac:dyDescent="0.25">
      <c r="D17" s="2" t="e">
        <f t="shared" si="3"/>
        <v>#DIV/0!</v>
      </c>
      <c r="J17" s="3"/>
    </row>
    <row r="18" spans="4:10" x14ac:dyDescent="0.25">
      <c r="D18" s="2" t="e">
        <f t="shared" si="3"/>
        <v>#DIV/0!</v>
      </c>
      <c r="J18" s="3"/>
    </row>
    <row r="19" spans="4:10" x14ac:dyDescent="0.25">
      <c r="D19" s="2" t="e">
        <f t="shared" si="3"/>
        <v>#DIV/0!</v>
      </c>
      <c r="J19" s="3"/>
    </row>
    <row r="20" spans="4:10" x14ac:dyDescent="0.25">
      <c r="D20" s="2" t="e">
        <f t="shared" si="3"/>
        <v>#DIV/0!</v>
      </c>
      <c r="J20" s="3"/>
    </row>
    <row r="21" spans="4:10" x14ac:dyDescent="0.25">
      <c r="D21" s="2" t="e">
        <f t="shared" si="3"/>
        <v>#DIV/0!</v>
      </c>
      <c r="J21" s="3"/>
    </row>
    <row r="22" spans="4:10" x14ac:dyDescent="0.25">
      <c r="D22" s="2" t="e">
        <f t="shared" si="3"/>
        <v>#DIV/0!</v>
      </c>
      <c r="J22" s="3"/>
    </row>
    <row r="23" spans="4:10" x14ac:dyDescent="0.25">
      <c r="D23" s="2" t="e">
        <f t="shared" si="3"/>
        <v>#DIV/0!</v>
      </c>
      <c r="J23" s="3"/>
    </row>
    <row r="24" spans="4:10" x14ac:dyDescent="0.25">
      <c r="D24" s="2" t="e">
        <f t="shared" si="3"/>
        <v>#DIV/0!</v>
      </c>
      <c r="J24" s="3"/>
    </row>
    <row r="25" spans="4:10" x14ac:dyDescent="0.25">
      <c r="D25" s="2" t="e">
        <f t="shared" si="3"/>
        <v>#DIV/0!</v>
      </c>
      <c r="J25" s="3"/>
    </row>
    <row r="26" spans="4:10" x14ac:dyDescent="0.25">
      <c r="D26" s="2" t="e">
        <f t="shared" si="3"/>
        <v>#DIV/0!</v>
      </c>
      <c r="J26" s="3"/>
    </row>
    <row r="27" spans="4:10" x14ac:dyDescent="0.25">
      <c r="D27" s="2" t="e">
        <f t="shared" si="3"/>
        <v>#DIV/0!</v>
      </c>
      <c r="J27" s="3"/>
    </row>
    <row r="28" spans="4:10" x14ac:dyDescent="0.25">
      <c r="D28" s="2" t="e">
        <f t="shared" si="3"/>
        <v>#DIV/0!</v>
      </c>
      <c r="J28" s="3"/>
    </row>
    <row r="29" spans="4:10" x14ac:dyDescent="0.25">
      <c r="D29" s="2" t="e">
        <f t="shared" si="3"/>
        <v>#DIV/0!</v>
      </c>
      <c r="J29" s="3"/>
    </row>
    <row r="30" spans="4:10" x14ac:dyDescent="0.25">
      <c r="D30" s="2" t="e">
        <f t="shared" si="3"/>
        <v>#DIV/0!</v>
      </c>
      <c r="J30" s="3"/>
    </row>
    <row r="31" spans="4:10" x14ac:dyDescent="0.25">
      <c r="D31" s="2" t="e">
        <f t="shared" si="3"/>
        <v>#DIV/0!</v>
      </c>
      <c r="J31" s="3"/>
    </row>
    <row r="32" spans="4:10" x14ac:dyDescent="0.25">
      <c r="D32" s="2" t="e">
        <f t="shared" si="3"/>
        <v>#DIV/0!</v>
      </c>
      <c r="J32" s="3"/>
    </row>
    <row r="33" spans="4:10" x14ac:dyDescent="0.25">
      <c r="D33" s="2" t="e">
        <f t="shared" si="3"/>
        <v>#DIV/0!</v>
      </c>
      <c r="J33" s="3"/>
    </row>
    <row r="34" spans="4:10" x14ac:dyDescent="0.25">
      <c r="D34" s="2" t="e">
        <f t="shared" si="3"/>
        <v>#DIV/0!</v>
      </c>
      <c r="J34" s="3"/>
    </row>
    <row r="35" spans="4:10" x14ac:dyDescent="0.25">
      <c r="D35" s="2" t="e">
        <f t="shared" si="3"/>
        <v>#DIV/0!</v>
      </c>
      <c r="J35" s="3"/>
    </row>
    <row r="36" spans="4:10" x14ac:dyDescent="0.25">
      <c r="D36" s="2" t="e">
        <f t="shared" si="3"/>
        <v>#DIV/0!</v>
      </c>
      <c r="J36" s="3"/>
    </row>
    <row r="37" spans="4:10" x14ac:dyDescent="0.25">
      <c r="D37" s="2" t="e">
        <f t="shared" si="3"/>
        <v>#DIV/0!</v>
      </c>
      <c r="J37" s="3"/>
    </row>
    <row r="38" spans="4:10" x14ac:dyDescent="0.25">
      <c r="D38" s="2" t="e">
        <f t="shared" si="3"/>
        <v>#DIV/0!</v>
      </c>
      <c r="J38" s="3"/>
    </row>
    <row r="39" spans="4:10" x14ac:dyDescent="0.25">
      <c r="D39" s="2" t="e">
        <f t="shared" si="3"/>
        <v>#DIV/0!</v>
      </c>
      <c r="J39" s="3"/>
    </row>
    <row r="40" spans="4:10" x14ac:dyDescent="0.25">
      <c r="D40" s="2" t="e">
        <f t="shared" ref="D40" si="4">C40/B40</f>
        <v>#DIV/0!</v>
      </c>
      <c r="J40" s="3"/>
    </row>
    <row r="41" spans="4:10" x14ac:dyDescent="0.25">
      <c r="J41" s="3"/>
    </row>
    <row r="42" spans="4:10" x14ac:dyDescent="0.25">
      <c r="J42" s="3"/>
    </row>
    <row r="43" spans="4:10" x14ac:dyDescent="0.25">
      <c r="J43" s="3"/>
    </row>
    <row r="44" spans="4:10" x14ac:dyDescent="0.25">
      <c r="J44" s="3"/>
    </row>
    <row r="45" spans="4:10" x14ac:dyDescent="0.25">
      <c r="J45" s="3"/>
    </row>
    <row r="46" spans="4:10" x14ac:dyDescent="0.25">
      <c r="J46" s="3"/>
    </row>
    <row r="47" spans="4:10" x14ac:dyDescent="0.25">
      <c r="J47" s="3"/>
    </row>
    <row r="48" spans="4:10" x14ac:dyDescent="0.25">
      <c r="J48" s="3"/>
    </row>
    <row r="49" spans="10:10" x14ac:dyDescent="0.25">
      <c r="J49" s="3"/>
    </row>
    <row r="50" spans="10:10" x14ac:dyDescent="0.25">
      <c r="J50" s="3"/>
    </row>
    <row r="51" spans="10:10" x14ac:dyDescent="0.25">
      <c r="J51" s="3"/>
    </row>
    <row r="52" spans="10:10" x14ac:dyDescent="0.25">
      <c r="J52" s="3"/>
    </row>
    <row r="53" spans="10:10" x14ac:dyDescent="0.25">
      <c r="J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4CF0-B133-42E4-A5E5-F1519EEA11A5}">
  <dimension ref="A2:F15"/>
  <sheetViews>
    <sheetView tabSelected="1" workbookViewId="0">
      <selection activeCell="G9" sqref="G9"/>
    </sheetView>
  </sheetViews>
  <sheetFormatPr defaultRowHeight="15" x14ac:dyDescent="0.25"/>
  <sheetData>
    <row r="2" spans="1:6" x14ac:dyDescent="0.25">
      <c r="B2" s="1" t="s">
        <v>21</v>
      </c>
      <c r="F2" s="1" t="s">
        <v>21</v>
      </c>
    </row>
    <row r="3" spans="1:6" x14ac:dyDescent="0.25">
      <c r="A3" s="1" t="s">
        <v>18</v>
      </c>
      <c r="E3" s="1" t="s">
        <v>22</v>
      </c>
    </row>
    <row r="4" spans="1:6" x14ac:dyDescent="0.25">
      <c r="A4" t="s">
        <v>19</v>
      </c>
      <c r="E4" t="s">
        <v>23</v>
      </c>
      <c r="F4">
        <v>18</v>
      </c>
    </row>
    <row r="5" spans="1:6" x14ac:dyDescent="0.25">
      <c r="A5">
        <v>0</v>
      </c>
      <c r="B5">
        <v>3</v>
      </c>
      <c r="E5" t="s">
        <v>24</v>
      </c>
      <c r="F5">
        <v>27</v>
      </c>
    </row>
    <row r="6" spans="1:6" x14ac:dyDescent="0.25">
      <c r="A6">
        <v>1</v>
      </c>
      <c r="B6">
        <v>2</v>
      </c>
      <c r="E6" t="s">
        <v>25</v>
      </c>
      <c r="F6">
        <v>28</v>
      </c>
    </row>
    <row r="7" spans="1:6" x14ac:dyDescent="0.25">
      <c r="A7">
        <v>2</v>
      </c>
      <c r="B7">
        <v>5</v>
      </c>
    </row>
    <row r="8" spans="1:6" x14ac:dyDescent="0.25">
      <c r="A8">
        <v>3</v>
      </c>
      <c r="B8">
        <v>6</v>
      </c>
    </row>
    <row r="9" spans="1:6" x14ac:dyDescent="0.25">
      <c r="A9">
        <v>4</v>
      </c>
      <c r="B9">
        <v>9</v>
      </c>
    </row>
    <row r="10" spans="1:6" x14ac:dyDescent="0.25">
      <c r="A10" t="s">
        <v>20</v>
      </c>
    </row>
    <row r="11" spans="1:6" x14ac:dyDescent="0.25">
      <c r="A11">
        <v>0</v>
      </c>
      <c r="B11">
        <v>8</v>
      </c>
    </row>
    <row r="12" spans="1:6" x14ac:dyDescent="0.25">
      <c r="A12">
        <v>1</v>
      </c>
      <c r="B12">
        <v>4</v>
      </c>
    </row>
    <row r="13" spans="1:6" x14ac:dyDescent="0.25">
      <c r="A13">
        <v>2</v>
      </c>
      <c r="B13">
        <v>11</v>
      </c>
    </row>
    <row r="14" spans="1:6" x14ac:dyDescent="0.25">
      <c r="A14">
        <v>3</v>
      </c>
      <c r="B14">
        <v>12</v>
      </c>
    </row>
    <row r="15" spans="1:6" x14ac:dyDescent="0.25">
      <c r="A15">
        <v>4</v>
      </c>
      <c r="B15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3111B0957BD70942B872A1819EA00EC2" ma:contentTypeVersion="1" ma:contentTypeDescription="新建文档。" ma:contentTypeScope="" ma:versionID="343d78a18fd21572a2c0b71a9802cecb">
  <xsd:schema xmlns:xsd="http://www.w3.org/2001/XMLSchema" xmlns:xs="http://www.w3.org/2001/XMLSchema" xmlns:p="http://schemas.microsoft.com/office/2006/metadata/properties" xmlns:ns3="a71b19c3-5d9a-400d-adec-a13758369307" targetNamespace="http://schemas.microsoft.com/office/2006/metadata/properties" ma:root="true" ma:fieldsID="4db794d0e1089e4c5de32d2ccfc686c4" ns3:_="">
    <xsd:import namespace="a71b19c3-5d9a-400d-adec-a1375836930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b19c3-5d9a-400d-adec-a1375836930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40676F-20E5-404A-81A1-657CB83CA13B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a71b19c3-5d9a-400d-adec-a13758369307"/>
  </ds:schemaRefs>
</ds:datastoreItem>
</file>

<file path=customXml/itemProps2.xml><?xml version="1.0" encoding="utf-8"?>
<ds:datastoreItem xmlns:ds="http://schemas.openxmlformats.org/officeDocument/2006/customXml" ds:itemID="{7D088F2F-B94B-4377-8B77-8A7362BEB1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1b19c3-5d9a-400d-adec-a137583693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F25B62-5463-422F-A383-CDC77D6B64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quick calc</vt:lpstr>
      <vt:lpstr>Pinout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2025-10-28T13:46:41Z</dcterms:created>
  <dcterms:modified xsi:type="dcterms:W3CDTF">2026-04-25T13:03:11Z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0x0101003111B0957BD70942B872A1819EA00EC2</vt:lpwstr>
  </property>
</Properties>
</file>